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Максим\Desktop\"/>
    </mc:Choice>
  </mc:AlternateContent>
  <xr:revisionPtr revIDLastSave="0" documentId="8_{0509B361-4AC0-40B1-A479-7EFE57EB7FAD}" xr6:coauthVersionLast="47" xr6:coauthVersionMax="47" xr10:uidLastSave="{00000000-0000-0000-0000-000000000000}"/>
  <bookViews>
    <workbookView xWindow="-108" yWindow="-108" windowWidth="23256" windowHeight="12456" xr2:uid="{AD59273C-9CFA-40FC-812C-BD58DD634257}"/>
  </bookViews>
  <sheets>
    <sheet name="Лист1" sheetId="1" r:id="rId1"/>
  </sheets>
  <definedNames>
    <definedName name="solver_adj" localSheetId="0" hidden="1">Лист1!$V$24:$V$27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Лист1!$L$33</definedName>
    <definedName name="solver_lhs2" localSheetId="0" hidden="1">Лист1!$V$32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Лист1!$V$32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1</definedName>
    <definedName name="solver_rhs1" localSheetId="0" hidden="1">Лист1!$V$35</definedName>
    <definedName name="solver_rhs2" localSheetId="0" hidden="1">Лист1!$V$34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 s="1"/>
  <c r="C33" i="1"/>
  <c r="D33" i="1"/>
  <c r="E33" i="1"/>
  <c r="F33" i="1"/>
  <c r="G33" i="1"/>
  <c r="H33" i="1"/>
  <c r="I33" i="1"/>
  <c r="J33" i="1"/>
  <c r="K33" i="1"/>
  <c r="B33" i="1"/>
  <c r="L33" i="1" s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V28" i="1"/>
  <c r="X30" i="1"/>
  <c r="W30" i="1"/>
  <c r="V30" i="1"/>
  <c r="U30" i="1"/>
  <c r="S28" i="1"/>
  <c r="R27" i="1"/>
  <c r="Q26" i="1"/>
  <c r="P25" i="1"/>
  <c r="M4" i="1" l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P32" i="1" a="1"/>
  <c r="Q32" i="1" s="1"/>
  <c r="S32" i="1" l="1"/>
  <c r="R32" i="1"/>
  <c r="P32" i="1"/>
  <c r="V32" i="1" l="1"/>
  <c r="V33" i="1" s="1"/>
</calcChain>
</file>

<file path=xl/sharedStrings.xml><?xml version="1.0" encoding="utf-8"?>
<sst xmlns="http://schemas.openxmlformats.org/spreadsheetml/2006/main" count="48" uniqueCount="40">
  <si>
    <t>Индикатор 1</t>
  </si>
  <si>
    <t>Индикатор 2</t>
  </si>
  <si>
    <t>Индикатор 3</t>
  </si>
  <si>
    <t>Индикатор 4</t>
  </si>
  <si>
    <t>Индикатор 5</t>
  </si>
  <si>
    <t>Индикатор 6</t>
  </si>
  <si>
    <t>Индикатор 7</t>
  </si>
  <si>
    <t>Индикатор 8</t>
  </si>
  <si>
    <t>Индикатор 9</t>
  </si>
  <si>
    <t>Индикатор 10</t>
  </si>
  <si>
    <t>Мин волат</t>
  </si>
  <si>
    <t>Макс коэф Шарпа</t>
  </si>
  <si>
    <t>безриск ставка</t>
  </si>
  <si>
    <t>Эффективный риск</t>
  </si>
  <si>
    <t>Эфективная доходность</t>
  </si>
  <si>
    <t>Вывод графика эффективной границы</t>
  </si>
  <si>
    <t>Вывод кривой доходности портфеля</t>
  </si>
  <si>
    <t>Вывод интерактивной круговой диаграммы весов портфеля</t>
  </si>
  <si>
    <t>Расчет показателей кривой доходности</t>
  </si>
  <si>
    <t>Ожидаемый доход</t>
  </si>
  <si>
    <t>Ожидаемая волатильность</t>
  </si>
  <si>
    <t>Максимальная просадка</t>
  </si>
  <si>
    <t>Максимальный период восстановления</t>
  </si>
  <si>
    <t>И возможность на одном графике сравнить разные портфели</t>
  </si>
  <si>
    <t>ВАЖНО! Все доходности индикаторов скорректировать на инфляцию</t>
  </si>
  <si>
    <t>Индикатором 1 сделать рублевую массу</t>
  </si>
  <si>
    <t>Столбец 1</t>
  </si>
  <si>
    <t>Столбец 2</t>
  </si>
  <si>
    <t>Столбец 3</t>
  </si>
  <si>
    <t>Столбец 4</t>
  </si>
  <si>
    <t>w1</t>
  </si>
  <si>
    <t>w2</t>
  </si>
  <si>
    <t>w3</t>
  </si>
  <si>
    <t>w4</t>
  </si>
  <si>
    <t>Volatility</t>
  </si>
  <si>
    <t>Портфель</t>
  </si>
  <si>
    <t>Sharpe</t>
  </si>
  <si>
    <t>risk-free rate</t>
  </si>
  <si>
    <t>vol max</t>
  </si>
  <si>
    <t>ret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</si>
</sst>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Лист1!$M$2:$M$32</c:f>
              <c:numCache>
                <c:formatCode>General</c:formatCode>
                <c:ptCount val="31"/>
                <c:pt idx="0">
                  <c:v>100</c:v>
                </c:pt>
                <c:pt idx="1">
                  <c:v>99.844425520234083</c:v>
                </c:pt>
                <c:pt idx="2">
                  <c:v>99.356085848978438</c:v>
                </c:pt>
                <c:pt idx="3">
                  <c:v>99.614198150114902</c:v>
                </c:pt>
                <c:pt idx="4">
                  <c:v>99.871329204842425</c:v>
                </c:pt>
                <c:pt idx="5">
                  <c:v>99.670341874082823</c:v>
                </c:pt>
                <c:pt idx="6">
                  <c:v>99.61126833698296</c:v>
                </c:pt>
                <c:pt idx="7">
                  <c:v>99.470281753000179</c:v>
                </c:pt>
                <c:pt idx="8">
                  <c:v>99.980048154099023</c:v>
                </c:pt>
                <c:pt idx="9">
                  <c:v>99.949622173846876</c:v>
                </c:pt>
                <c:pt idx="10">
                  <c:v>100.74046800144386</c:v>
                </c:pt>
                <c:pt idx="11">
                  <c:v>100.91716368405508</c:v>
                </c:pt>
                <c:pt idx="12">
                  <c:v>100.61606010334398</c:v>
                </c:pt>
                <c:pt idx="13">
                  <c:v>100.51694469584145</c:v>
                </c:pt>
                <c:pt idx="14">
                  <c:v>101.2582943318293</c:v>
                </c:pt>
                <c:pt idx="15">
                  <c:v>101.27077208246067</c:v>
                </c:pt>
                <c:pt idx="16">
                  <c:v>101.07521828440399</c:v>
                </c:pt>
                <c:pt idx="17">
                  <c:v>100.90561087233387</c:v>
                </c:pt>
                <c:pt idx="18">
                  <c:v>101.14157578875597</c:v>
                </c:pt>
                <c:pt idx="19">
                  <c:v>101.38299013517796</c:v>
                </c:pt>
                <c:pt idx="20">
                  <c:v>101.40968737940189</c:v>
                </c:pt>
                <c:pt idx="21">
                  <c:v>102.30857815359082</c:v>
                </c:pt>
                <c:pt idx="22">
                  <c:v>102.4525809194357</c:v>
                </c:pt>
                <c:pt idx="23">
                  <c:v>102.62248845851572</c:v>
                </c:pt>
                <c:pt idx="24">
                  <c:v>103.02443820415013</c:v>
                </c:pt>
                <c:pt idx="25">
                  <c:v>103.85753109133296</c:v>
                </c:pt>
                <c:pt idx="26">
                  <c:v>104.96175909477115</c:v>
                </c:pt>
                <c:pt idx="27">
                  <c:v>105.56125409630381</c:v>
                </c:pt>
                <c:pt idx="28">
                  <c:v>105.10072636130886</c:v>
                </c:pt>
                <c:pt idx="29">
                  <c:v>105.16834873085408</c:v>
                </c:pt>
                <c:pt idx="30">
                  <c:v>105.51900765066476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68-482A-A236-268AE7D3D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7762927"/>
        <c:axId val="747447967"/>
      </c:lineChart>
      <c:catAx>
        <c:axId val="7477629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7447967"/>
        <c:crosses val="autoZero"/>
        <c:auto val="1"/>
        <c:lblAlgn val="ctr"/>
        <c:lblOffset val="100"/>
        <c:noMultiLvlLbl val="0"/>
      </c:catAx>
      <c:valAx>
        <c:axId val="74744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7762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125185</xdr:colOff>
      <xdr:row>2</xdr:row>
      <xdr:rowOff>84365</xdr:rowOff>
    </xdr:from>
    <xdr:to>
      <xdr:col>23</xdr:col>
      <xdr:colOff>429985</xdr:colOff>
      <xdr:row>16</xdr:row>
      <xdr:rowOff>160565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407F971-F096-4701-B904-03CE9D02C4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EDAC6-B5D5-4409-9F9D-A46A7DB86DCE}">
  <dimension ref="B2:X35"/>
  <sheetViews>
    <sheetView tabSelected="1" zoomScale="62" zoomScaleNormal="62" workbookViewId="0">
      <selection activeCell="V26" sqref="V26"/>
    </sheetView>
  </sheetViews>
  <sheetFormatPr defaultRowHeight="14.4" x14ac:dyDescent="0.3"/>
  <cols>
    <col min="2" max="3" width="12.44140625" bestFit="1" customWidth="1"/>
    <col min="14" max="14" width="12.5546875" customWidth="1"/>
  </cols>
  <sheetData>
    <row r="2" spans="2:15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35</v>
      </c>
      <c r="M2">
        <v>100</v>
      </c>
    </row>
    <row r="3" spans="2:15" x14ac:dyDescent="0.3">
      <c r="B3">
        <v>0.44127091314294375</v>
      </c>
      <c r="C3">
        <v>-0.37721292756032199</v>
      </c>
      <c r="D3">
        <v>-5.0113158067688346E-3</v>
      </c>
      <c r="E3">
        <v>-0.90058392743230797</v>
      </c>
      <c r="F3">
        <v>-0.96463736554142088</v>
      </c>
      <c r="G3">
        <v>-0.30015144147910178</v>
      </c>
      <c r="H3">
        <v>1.1601719052123372</v>
      </c>
      <c r="I3">
        <v>0.18273453861183953</v>
      </c>
      <c r="J3">
        <v>0.39451947486668359</v>
      </c>
      <c r="K3">
        <v>-0.5733272701036185</v>
      </c>
      <c r="L3">
        <f>MMULT(B3:E3,$V$24:$V$27)</f>
        <v>-0.15557447976591757</v>
      </c>
      <c r="M3">
        <f>M2*(1+L3/100)</f>
        <v>99.844425520234083</v>
      </c>
      <c r="O3" t="s">
        <v>10</v>
      </c>
    </row>
    <row r="4" spans="2:15" x14ac:dyDescent="0.3">
      <c r="B4">
        <v>-1.0251187632093206</v>
      </c>
      <c r="C4">
        <v>0.35341599868843332</v>
      </c>
      <c r="D4">
        <v>-0.55743953453202266</v>
      </c>
      <c r="E4">
        <v>-0.38025405046937522</v>
      </c>
      <c r="F4">
        <v>0.28259250939299818</v>
      </c>
      <c r="G4">
        <v>1.1972360880463384E-2</v>
      </c>
      <c r="H4">
        <v>-0.66728034653351642</v>
      </c>
      <c r="I4">
        <v>1.2634518498089164</v>
      </c>
      <c r="J4">
        <v>-0.55895952755236067</v>
      </c>
      <c r="K4">
        <v>0.47406047087861225</v>
      </c>
      <c r="L4">
        <f t="shared" ref="L4:L33" si="0">MMULT(B4:E4,$V$24:$V$27)</f>
        <v>-0.48910058694931724</v>
      </c>
      <c r="M4">
        <f t="shared" ref="M4:M32" si="1">M3*(1+L4/100)</f>
        <v>99.356085848978438</v>
      </c>
      <c r="N4" t="s">
        <v>12</v>
      </c>
      <c r="O4" t="s">
        <v>11</v>
      </c>
    </row>
    <row r="5" spans="2:15" x14ac:dyDescent="0.3">
      <c r="B5">
        <v>0.43428372009657323</v>
      </c>
      <c r="C5">
        <v>-1.3490762285073288</v>
      </c>
      <c r="D5">
        <v>0.11634824659267906</v>
      </c>
      <c r="E5">
        <v>1.6939520719461143</v>
      </c>
      <c r="F5">
        <v>-1.5368414096883498</v>
      </c>
      <c r="G5">
        <v>-0.80780637290445156</v>
      </c>
      <c r="H5">
        <v>-0.11488509699120186</v>
      </c>
      <c r="I5">
        <v>1.1436850400059484</v>
      </c>
      <c r="J5">
        <v>-2.2372660168912262</v>
      </c>
      <c r="K5">
        <v>-0.42974761527148075</v>
      </c>
      <c r="L5">
        <f t="shared" si="0"/>
        <v>0.25978509411973816</v>
      </c>
      <c r="M5">
        <f t="shared" si="1"/>
        <v>99.614198150114902</v>
      </c>
      <c r="N5">
        <v>0.05</v>
      </c>
      <c r="O5" t="s">
        <v>13</v>
      </c>
    </row>
    <row r="6" spans="2:15" x14ac:dyDescent="0.3">
      <c r="B6">
        <v>1.119021817430621</v>
      </c>
      <c r="C6">
        <v>-1.1100541996711399</v>
      </c>
      <c r="D6">
        <v>-1.0716371434682515</v>
      </c>
      <c r="E6">
        <v>1.8907576304627582</v>
      </c>
      <c r="F6">
        <v>0.32408706829301082</v>
      </c>
      <c r="G6">
        <v>0.29647253541043028</v>
      </c>
      <c r="H6">
        <v>-1.2097189028281718</v>
      </c>
      <c r="I6">
        <v>0.53550138545688242</v>
      </c>
      <c r="J6">
        <v>0.71280510383076034</v>
      </c>
      <c r="K6">
        <v>-0.30007186069269665</v>
      </c>
      <c r="L6">
        <f t="shared" si="0"/>
        <v>0.25812691313344382</v>
      </c>
      <c r="M6">
        <f t="shared" si="1"/>
        <v>99.871329204842425</v>
      </c>
      <c r="O6" t="s">
        <v>14</v>
      </c>
    </row>
    <row r="7" spans="2:15" x14ac:dyDescent="0.3">
      <c r="B7">
        <v>0.78615585152874701</v>
      </c>
      <c r="C7">
        <v>-0.37655581763829105</v>
      </c>
      <c r="D7">
        <v>-1.1079328032792546</v>
      </c>
      <c r="E7">
        <v>-0.29088141673128121</v>
      </c>
      <c r="F7">
        <v>-0.93366907094605267</v>
      </c>
      <c r="G7">
        <v>0.51172378334740642</v>
      </c>
      <c r="H7">
        <v>-0.25878534870571457</v>
      </c>
      <c r="I7">
        <v>-0.81514144767425023</v>
      </c>
      <c r="J7">
        <v>-0.22970198187977076</v>
      </c>
      <c r="K7">
        <v>-0.60784486777265556</v>
      </c>
      <c r="L7">
        <f t="shared" si="0"/>
        <v>-0.20124627594308417</v>
      </c>
      <c r="M7">
        <f t="shared" si="1"/>
        <v>99.670341874082823</v>
      </c>
    </row>
    <row r="8" spans="2:15" x14ac:dyDescent="0.3">
      <c r="B8">
        <v>0.53877101890975609</v>
      </c>
      <c r="C8">
        <v>0.18327909856452607</v>
      </c>
      <c r="D8">
        <v>-0.59318608691683039</v>
      </c>
      <c r="E8">
        <v>-0.4853905011259485</v>
      </c>
      <c r="F8">
        <v>-1.6777994460426271</v>
      </c>
      <c r="G8">
        <v>1.5766681826789863</v>
      </c>
      <c r="H8">
        <v>0.21535242922254838</v>
      </c>
      <c r="I8">
        <v>-0.46117520469124429</v>
      </c>
      <c r="J8">
        <v>0.38091229725978337</v>
      </c>
      <c r="K8">
        <v>1.7537695384817198</v>
      </c>
      <c r="L8">
        <f t="shared" si="0"/>
        <v>-5.9268921917099718E-2</v>
      </c>
      <c r="M8">
        <f t="shared" si="1"/>
        <v>99.61126833698296</v>
      </c>
      <c r="N8" t="s">
        <v>15</v>
      </c>
    </row>
    <row r="9" spans="2:15" x14ac:dyDescent="0.3">
      <c r="B9">
        <v>1.637017703615129</v>
      </c>
      <c r="C9">
        <v>-0.45242927626532037</v>
      </c>
      <c r="D9">
        <v>-0.47603066377632786</v>
      </c>
      <c r="E9">
        <v>-1.8666378309717402</v>
      </c>
      <c r="F9">
        <v>-0.94424876806442626</v>
      </c>
      <c r="G9">
        <v>-0.38428652260336094</v>
      </c>
      <c r="H9">
        <v>-1.0304370334779378</v>
      </c>
      <c r="I9">
        <v>0.90911044026142918</v>
      </c>
      <c r="J9">
        <v>1.2074974620190915</v>
      </c>
      <c r="K9">
        <v>-1.0833923624886665</v>
      </c>
      <c r="L9">
        <f t="shared" si="0"/>
        <v>-0.14153678227028371</v>
      </c>
      <c r="M9">
        <f t="shared" si="1"/>
        <v>99.470281753000179</v>
      </c>
      <c r="N9" t="s">
        <v>16</v>
      </c>
    </row>
    <row r="10" spans="2:15" x14ac:dyDescent="0.3">
      <c r="B10">
        <v>4.7102730604819953E-2</v>
      </c>
      <c r="C10">
        <v>1.5353452909039333</v>
      </c>
      <c r="D10">
        <v>0.23504640012106393</v>
      </c>
      <c r="E10">
        <v>0.36124333746556658</v>
      </c>
      <c r="F10">
        <v>0.54222368817136157</v>
      </c>
      <c r="G10">
        <v>0.32618345358059742</v>
      </c>
      <c r="H10">
        <v>0.75455773185240105</v>
      </c>
      <c r="I10">
        <v>-0.499467205372639</v>
      </c>
      <c r="J10">
        <v>-1.0305666364729404</v>
      </c>
      <c r="K10">
        <v>0.47783032641746104</v>
      </c>
      <c r="L10">
        <f t="shared" si="0"/>
        <v>0.51248110703522698</v>
      </c>
      <c r="M10">
        <f t="shared" si="1"/>
        <v>99.980048154099023</v>
      </c>
      <c r="N10" t="s">
        <v>17</v>
      </c>
    </row>
    <row r="11" spans="2:15" x14ac:dyDescent="0.3">
      <c r="B11">
        <v>-0.75740899774245918</v>
      </c>
      <c r="C11">
        <v>0.63082779888645746</v>
      </c>
      <c r="D11">
        <v>0.41344492274220102</v>
      </c>
      <c r="E11">
        <v>-0.18218997865915298</v>
      </c>
      <c r="F11">
        <v>-0.67082055466016755</v>
      </c>
      <c r="G11">
        <v>0.4162791356066009</v>
      </c>
      <c r="H11">
        <v>4.3120280679431744E-2</v>
      </c>
      <c r="I11">
        <v>-2.4871042114682496</v>
      </c>
      <c r="J11">
        <v>1.4105035006650724</v>
      </c>
      <c r="K11">
        <v>1.1484053175081499</v>
      </c>
      <c r="L11">
        <f t="shared" si="0"/>
        <v>-3.043205200827117E-2</v>
      </c>
      <c r="M11">
        <f t="shared" si="1"/>
        <v>99.949622173846876</v>
      </c>
      <c r="N11" t="s">
        <v>18</v>
      </c>
    </row>
    <row r="12" spans="2:15" x14ac:dyDescent="0.3">
      <c r="B12">
        <v>1.2426517059793696</v>
      </c>
      <c r="C12">
        <v>0.79914343587006442</v>
      </c>
      <c r="D12">
        <v>2.1680898498743773</v>
      </c>
      <c r="E12">
        <v>-1.6186004359042272</v>
      </c>
      <c r="F12">
        <v>-0.10126541383215226</v>
      </c>
      <c r="G12">
        <v>-1.0566782293608412</v>
      </c>
      <c r="H12">
        <v>0.4017238097731024</v>
      </c>
      <c r="I12">
        <v>-1.5476462067454122</v>
      </c>
      <c r="J12">
        <v>0.29303691917448305</v>
      </c>
      <c r="K12">
        <v>-0.23599000087415334</v>
      </c>
      <c r="L12">
        <f t="shared" si="0"/>
        <v>0.79124443934509114</v>
      </c>
      <c r="M12">
        <f t="shared" si="1"/>
        <v>100.74046800144386</v>
      </c>
      <c r="N12" t="s">
        <v>19</v>
      </c>
    </row>
    <row r="13" spans="2:15" x14ac:dyDescent="0.3">
      <c r="B13">
        <v>1.1981933312199544</v>
      </c>
      <c r="C13">
        <v>0.66012944444082677</v>
      </c>
      <c r="D13">
        <v>-0.74988747655879706</v>
      </c>
      <c r="E13">
        <v>-0.6709160516038537</v>
      </c>
      <c r="F13">
        <v>-0.54204633670451585</v>
      </c>
      <c r="G13">
        <v>0.68787585405516438</v>
      </c>
      <c r="H13">
        <v>-0.53497160479309969</v>
      </c>
      <c r="I13">
        <v>-0.42916099118883722</v>
      </c>
      <c r="J13">
        <v>-0.17597130863578059</v>
      </c>
      <c r="K13">
        <v>-0.22138465283205733</v>
      </c>
      <c r="L13">
        <f t="shared" si="0"/>
        <v>0.17539692450971217</v>
      </c>
      <c r="M13">
        <f t="shared" si="1"/>
        <v>100.91716368405508</v>
      </c>
      <c r="N13" t="s">
        <v>20</v>
      </c>
    </row>
    <row r="14" spans="2:15" x14ac:dyDescent="0.3">
      <c r="B14">
        <v>-0.10341864253859967</v>
      </c>
      <c r="C14">
        <v>-0.19776848603214603</v>
      </c>
      <c r="D14">
        <v>-4.4038870328222401E-2</v>
      </c>
      <c r="E14">
        <v>-0.89166860561817884</v>
      </c>
      <c r="F14">
        <v>0.56523049352108501</v>
      </c>
      <c r="G14">
        <v>0.90737557911779732</v>
      </c>
      <c r="H14">
        <v>-1.1256292964390013</v>
      </c>
      <c r="I14">
        <v>0.72787656790751498</v>
      </c>
      <c r="J14">
        <v>-0.51669985623448156</v>
      </c>
      <c r="K14">
        <v>-0.35414814192336053</v>
      </c>
      <c r="L14">
        <f t="shared" si="0"/>
        <v>-0.29836706633350435</v>
      </c>
      <c r="M14">
        <f t="shared" si="1"/>
        <v>100.61606010334398</v>
      </c>
      <c r="N14" t="s">
        <v>21</v>
      </c>
    </row>
    <row r="15" spans="2:15" x14ac:dyDescent="0.3">
      <c r="B15">
        <v>0.44980424718232825</v>
      </c>
      <c r="C15">
        <v>-0.5181868800718803</v>
      </c>
      <c r="D15">
        <v>-1.1228939911234193</v>
      </c>
      <c r="E15">
        <v>0.76763853940065019</v>
      </c>
      <c r="F15">
        <v>-1.2615828381967731</v>
      </c>
      <c r="G15">
        <v>0.89509057943359949</v>
      </c>
      <c r="H15">
        <v>0.3827221917163115</v>
      </c>
      <c r="I15">
        <v>0.4349567461758852</v>
      </c>
      <c r="J15">
        <v>-0.62040726334089413</v>
      </c>
      <c r="K15">
        <v>-0.4485343652049778</v>
      </c>
      <c r="L15">
        <f t="shared" si="0"/>
        <v>-9.8508535715599005E-2</v>
      </c>
      <c r="M15">
        <f t="shared" si="1"/>
        <v>100.51694469584145</v>
      </c>
      <c r="N15" t="s">
        <v>22</v>
      </c>
    </row>
    <row r="16" spans="2:15" x14ac:dyDescent="0.3">
      <c r="B16">
        <v>0.2379567831667373</v>
      </c>
      <c r="C16">
        <v>1.3127237252774648</v>
      </c>
      <c r="D16">
        <v>0.79525307228323072</v>
      </c>
      <c r="E16">
        <v>0.62868139139027335</v>
      </c>
      <c r="F16">
        <v>-9.2950358521193266E-3</v>
      </c>
      <c r="G16">
        <v>0.64583218772895634</v>
      </c>
      <c r="H16">
        <v>1.1872862160089426</v>
      </c>
      <c r="I16">
        <v>1.7138791008619592</v>
      </c>
      <c r="J16">
        <v>-0.35138100429321639</v>
      </c>
      <c r="K16">
        <v>-0.30816408980172127</v>
      </c>
      <c r="L16">
        <f t="shared" si="0"/>
        <v>0.7375369777017633</v>
      </c>
      <c r="M16">
        <f t="shared" si="1"/>
        <v>101.2582943318293</v>
      </c>
      <c r="N16" t="s">
        <v>23</v>
      </c>
    </row>
    <row r="17" spans="2:24" x14ac:dyDescent="0.3">
      <c r="B17">
        <v>0.72498778536100872</v>
      </c>
      <c r="C17">
        <v>-0.29567331694124732</v>
      </c>
      <c r="D17">
        <v>-0.15441173673025332</v>
      </c>
      <c r="E17">
        <v>-0.47808725867071189</v>
      </c>
      <c r="F17">
        <v>0.67110818235960323</v>
      </c>
      <c r="G17">
        <v>-0.9316590876551345</v>
      </c>
      <c r="H17">
        <v>-0.1077262368198717</v>
      </c>
      <c r="I17">
        <v>-0.77227014116942883</v>
      </c>
      <c r="J17">
        <v>0.62226263253251091</v>
      </c>
      <c r="K17">
        <v>-0.19979665921709966</v>
      </c>
      <c r="L17">
        <f t="shared" si="0"/>
        <v>1.2322694860397845E-2</v>
      </c>
      <c r="M17">
        <f t="shared" si="1"/>
        <v>101.27077208246067</v>
      </c>
    </row>
    <row r="18" spans="2:24" x14ac:dyDescent="0.3">
      <c r="B18">
        <v>-0.58463456298341043</v>
      </c>
      <c r="C18">
        <v>0.330220473188092</v>
      </c>
      <c r="D18">
        <v>-0.74049694376299158</v>
      </c>
      <c r="E18">
        <v>0.51617689678096212</v>
      </c>
      <c r="F18">
        <v>-0.42472038330743089</v>
      </c>
      <c r="G18">
        <v>-0.64056393966893665</v>
      </c>
      <c r="H18">
        <v>0.1762816737027606</v>
      </c>
      <c r="I18">
        <v>-1.5040359357954003</v>
      </c>
      <c r="J18">
        <v>0.73637693276396021</v>
      </c>
      <c r="K18">
        <v>-0.85063675214769319</v>
      </c>
      <c r="L18">
        <f t="shared" si="0"/>
        <v>-0.19309993795391431</v>
      </c>
      <c r="M18">
        <f t="shared" si="1"/>
        <v>101.07521828440399</v>
      </c>
      <c r="N18" t="s">
        <v>24</v>
      </c>
    </row>
    <row r="19" spans="2:24" x14ac:dyDescent="0.3">
      <c r="B19">
        <v>-9.2272784968372434E-2</v>
      </c>
      <c r="C19">
        <v>-1.8871105567086488</v>
      </c>
      <c r="D19">
        <v>0.50858716349466704</v>
      </c>
      <c r="E19">
        <v>0.65632889345579315</v>
      </c>
      <c r="F19">
        <v>0.13361841411096975</v>
      </c>
      <c r="G19">
        <v>-5.4915290093049407E-2</v>
      </c>
      <c r="H19">
        <v>-7.6535116022569127E-2</v>
      </c>
      <c r="I19">
        <v>-0.73537421485525556</v>
      </c>
      <c r="J19">
        <v>-1.102575879485812</v>
      </c>
      <c r="K19">
        <v>-0.95928953669499606</v>
      </c>
      <c r="L19">
        <f t="shared" si="0"/>
        <v>-0.16780316179272717</v>
      </c>
      <c r="M19">
        <f t="shared" si="1"/>
        <v>100.90561087233387</v>
      </c>
      <c r="N19" t="s">
        <v>25</v>
      </c>
    </row>
    <row r="20" spans="2:24" x14ac:dyDescent="0.3">
      <c r="B20">
        <v>-0.26710040401667356</v>
      </c>
      <c r="C20">
        <v>0.11203610483789816</v>
      </c>
      <c r="D20">
        <v>0.48745732783572748</v>
      </c>
      <c r="E20">
        <v>0.69409225034178235</v>
      </c>
      <c r="F20">
        <v>0.6449852207879303</v>
      </c>
      <c r="G20">
        <v>0.43638578972604591</v>
      </c>
      <c r="H20">
        <v>-0.32981688491418026</v>
      </c>
      <c r="I20">
        <v>1.3628869055537507</v>
      </c>
      <c r="J20">
        <v>2.9724560590693727E-2</v>
      </c>
      <c r="K20">
        <v>-2.1186497178860009</v>
      </c>
      <c r="L20">
        <f t="shared" si="0"/>
        <v>0.23384717101672656</v>
      </c>
      <c r="M20">
        <f t="shared" si="1"/>
        <v>101.14157578875597</v>
      </c>
    </row>
    <row r="21" spans="2:24" x14ac:dyDescent="0.3">
      <c r="B21">
        <v>-0.99116732599213719</v>
      </c>
      <c r="C21">
        <v>0.17993443179875612</v>
      </c>
      <c r="D21">
        <v>1.0574808584351558</v>
      </c>
      <c r="E21">
        <v>0.98369355328031816</v>
      </c>
      <c r="F21">
        <v>0.69321572482294869</v>
      </c>
      <c r="G21">
        <v>0.86968611867632717</v>
      </c>
      <c r="H21">
        <v>3.1254785426426679E-2</v>
      </c>
      <c r="I21">
        <v>-7.6995547715341672E-2</v>
      </c>
      <c r="J21">
        <v>1.4782244761590846</v>
      </c>
      <c r="K21">
        <v>-0.20338802642072551</v>
      </c>
      <c r="L21">
        <f t="shared" si="0"/>
        <v>0.23868952459886544</v>
      </c>
      <c r="M21">
        <f t="shared" si="1"/>
        <v>101.38299013517796</v>
      </c>
    </row>
    <row r="22" spans="2:24" x14ac:dyDescent="0.3">
      <c r="B22">
        <v>-0.72091552283382043</v>
      </c>
      <c r="C22">
        <v>0.6352206582960207</v>
      </c>
      <c r="D22">
        <v>-4.8250967665808275E-2</v>
      </c>
      <c r="E22">
        <v>0.5425772542366758</v>
      </c>
      <c r="F22">
        <v>0.13693806977244094</v>
      </c>
      <c r="G22">
        <v>-0.64526830101385713</v>
      </c>
      <c r="H22">
        <v>-0.18864966477849521</v>
      </c>
      <c r="I22">
        <v>-5.7411853049416095E-4</v>
      </c>
      <c r="J22">
        <v>0.91293259174562991</v>
      </c>
      <c r="K22">
        <v>1.6715785022825003</v>
      </c>
      <c r="L22">
        <f t="shared" si="0"/>
        <v>2.633306059362471E-2</v>
      </c>
      <c r="M22">
        <f t="shared" si="1"/>
        <v>101.40968737940189</v>
      </c>
    </row>
    <row r="23" spans="2:24" ht="15" thickBot="1" x14ac:dyDescent="0.35">
      <c r="B23">
        <v>0.27885221243195701</v>
      </c>
      <c r="C23">
        <v>1.8331866158405319</v>
      </c>
      <c r="D23">
        <v>1.3605676940642297</v>
      </c>
      <c r="E23">
        <v>4.6336481318576261E-2</v>
      </c>
      <c r="F23">
        <v>-0.30343471735250205</v>
      </c>
      <c r="G23">
        <v>-0.7741255103610456</v>
      </c>
      <c r="H23">
        <v>0.11388465281925164</v>
      </c>
      <c r="I23">
        <v>-0.89235300038126297</v>
      </c>
      <c r="J23">
        <v>-5.9742433222709224E-2</v>
      </c>
      <c r="K23">
        <v>-0.62775029618933331</v>
      </c>
      <c r="L23">
        <f t="shared" si="0"/>
        <v>0.88639537051909989</v>
      </c>
      <c r="M23">
        <f t="shared" si="1"/>
        <v>102.30857815359082</v>
      </c>
    </row>
    <row r="24" spans="2:24" x14ac:dyDescent="0.3">
      <c r="B24">
        <v>7.9987785284174606E-2</v>
      </c>
      <c r="C24">
        <v>-3.8630787457805127E-3</v>
      </c>
      <c r="D24">
        <v>0.82520728028612211</v>
      </c>
      <c r="E24">
        <v>-0.46185505198081955</v>
      </c>
      <c r="F24">
        <v>1.8481750885257497</v>
      </c>
      <c r="G24">
        <v>-0.20354491425678134</v>
      </c>
      <c r="H24">
        <v>-0.83742065726255532</v>
      </c>
      <c r="I24">
        <v>-1.7674619812169112</v>
      </c>
      <c r="J24">
        <v>0.51853703553206287</v>
      </c>
      <c r="K24">
        <v>0.11219071893719956</v>
      </c>
      <c r="L24">
        <f t="shared" si="0"/>
        <v>0.14075336442337136</v>
      </c>
      <c r="M24">
        <f t="shared" si="1"/>
        <v>102.4525809194357</v>
      </c>
      <c r="O24" s="2"/>
      <c r="P24" s="2" t="s">
        <v>26</v>
      </c>
      <c r="Q24" s="2" t="s">
        <v>27</v>
      </c>
      <c r="R24" s="2" t="s">
        <v>28</v>
      </c>
      <c r="S24" s="2" t="s">
        <v>29</v>
      </c>
      <c r="U24" s="3" t="s">
        <v>30</v>
      </c>
      <c r="V24">
        <v>0.32148985791694579</v>
      </c>
    </row>
    <row r="25" spans="2:24" ht="15" thickBot="1" x14ac:dyDescent="0.35">
      <c r="B25">
        <v>-2.2583117242902517</v>
      </c>
      <c r="C25">
        <v>0.36336814446258359</v>
      </c>
      <c r="D25">
        <v>2.5373446987941861</v>
      </c>
      <c r="E25">
        <v>0.51914980758738238</v>
      </c>
      <c r="F25">
        <v>-0.41544581108610146</v>
      </c>
      <c r="G25">
        <v>0.12729287846013904</v>
      </c>
      <c r="H25">
        <v>1.0078065315610729</v>
      </c>
      <c r="I25">
        <v>0.50545622798381373</v>
      </c>
      <c r="J25">
        <v>1.4437546269618906</v>
      </c>
      <c r="K25">
        <v>-4.5034767026663758E-2</v>
      </c>
      <c r="L25">
        <f t="shared" si="0"/>
        <v>0.16584017460100134</v>
      </c>
      <c r="M25">
        <f t="shared" si="1"/>
        <v>102.62248845851572</v>
      </c>
      <c r="O25" t="s">
        <v>26</v>
      </c>
      <c r="P25">
        <f>VARP(Лист1!$B$3:$B$32)</f>
        <v>0.92655046247338135</v>
      </c>
      <c r="Q25">
        <v>-0.10803767469283002</v>
      </c>
      <c r="R25">
        <v>-0.17261918818695809</v>
      </c>
      <c r="S25" s="1">
        <v>-0.18901432962074172</v>
      </c>
      <c r="U25" t="s">
        <v>31</v>
      </c>
      <c r="V25">
        <v>0.22748096977315174</v>
      </c>
    </row>
    <row r="26" spans="2:24" ht="15" thickBot="1" x14ac:dyDescent="0.35">
      <c r="B26">
        <v>0.67523387770052068</v>
      </c>
      <c r="C26">
        <v>0.10695657692849636</v>
      </c>
      <c r="D26">
        <v>0.37360223359428346</v>
      </c>
      <c r="E26">
        <v>0.20971810954506509</v>
      </c>
      <c r="F26">
        <v>-7.5153820944251493E-2</v>
      </c>
      <c r="G26">
        <v>1.2514760783233214</v>
      </c>
      <c r="H26">
        <v>-0.48169340516324155</v>
      </c>
      <c r="I26">
        <v>0.30407591111725196</v>
      </c>
      <c r="J26">
        <v>0.16432863958470989</v>
      </c>
      <c r="K26">
        <v>2.0981678972020745</v>
      </c>
      <c r="L26">
        <f t="shared" si="0"/>
        <v>0.39167803438803767</v>
      </c>
      <c r="M26">
        <f t="shared" si="1"/>
        <v>103.02443820415013</v>
      </c>
      <c r="O26" t="s">
        <v>27</v>
      </c>
      <c r="P26">
        <v>-0.10803767469283002</v>
      </c>
      <c r="Q26">
        <f>VARP(Лист1!$C$3:$C$32)</f>
        <v>0.62870824621862442</v>
      </c>
      <c r="R26">
        <v>0.11581259143326676</v>
      </c>
      <c r="S26" s="1">
        <v>-5.7959060216198788E-2</v>
      </c>
      <c r="U26" t="s">
        <v>32</v>
      </c>
      <c r="V26">
        <v>0.27114664273469702</v>
      </c>
    </row>
    <row r="27" spans="2:24" ht="15" thickBot="1" x14ac:dyDescent="0.35">
      <c r="B27">
        <v>1.9533126760507002</v>
      </c>
      <c r="C27">
        <v>0.68139570430503227</v>
      </c>
      <c r="D27">
        <v>-0.83460008681868203</v>
      </c>
      <c r="E27">
        <v>1.0791382010211237</v>
      </c>
      <c r="F27">
        <v>-0.52414634410524741</v>
      </c>
      <c r="G27">
        <v>1.4983697838033549</v>
      </c>
      <c r="H27">
        <v>-1.3534599929698743</v>
      </c>
      <c r="I27">
        <v>-0.78761559052509256</v>
      </c>
      <c r="J27">
        <v>-0.53841745284444187</v>
      </c>
      <c r="K27">
        <v>-0.12467125998227857</v>
      </c>
      <c r="L27">
        <f t="shared" si="0"/>
        <v>0.80863618545727489</v>
      </c>
      <c r="M27">
        <f t="shared" si="1"/>
        <v>103.85753109133296</v>
      </c>
      <c r="O27" t="s">
        <v>28</v>
      </c>
      <c r="P27">
        <v>-0.17261918818695809</v>
      </c>
      <c r="Q27">
        <v>0.11581259143326676</v>
      </c>
      <c r="R27">
        <f>VARP(Лист1!$D$3:$D$32)</f>
        <v>1.0480125943040643</v>
      </c>
      <c r="S27" s="1">
        <v>-0.23267752136372938</v>
      </c>
      <c r="U27" t="s">
        <v>33</v>
      </c>
      <c r="V27">
        <v>0.23348300197357014</v>
      </c>
    </row>
    <row r="28" spans="2:24" ht="15" thickBot="1" x14ac:dyDescent="0.35">
      <c r="B28">
        <v>1.7459842638345435</v>
      </c>
      <c r="C28">
        <v>8.5667579696746543E-2</v>
      </c>
      <c r="D28">
        <v>1.4297961570264306</v>
      </c>
      <c r="E28">
        <v>0.40570739656686783</v>
      </c>
      <c r="F28">
        <v>5.943547876086086E-2</v>
      </c>
      <c r="G28">
        <v>1.2626014722627588</v>
      </c>
      <c r="H28">
        <v>0.98518285085447133</v>
      </c>
      <c r="I28">
        <v>-0.2212277649960015</v>
      </c>
      <c r="J28">
        <v>-0.63981360653997399</v>
      </c>
      <c r="K28">
        <v>-0.86023419498815201</v>
      </c>
      <c r="L28">
        <f t="shared" si="0"/>
        <v>1.0632141856589274</v>
      </c>
      <c r="M28">
        <f t="shared" si="1"/>
        <v>104.96175909477115</v>
      </c>
      <c r="O28" s="1" t="s">
        <v>29</v>
      </c>
      <c r="P28" s="1">
        <v>-0.18901432962074172</v>
      </c>
      <c r="Q28" s="1">
        <v>-5.7959060216198788E-2</v>
      </c>
      <c r="R28" s="1">
        <v>-0.23267752136372938</v>
      </c>
      <c r="S28" s="1">
        <f>VARP(Лист1!$E$3:$E$32)</f>
        <v>0.81987773166512989</v>
      </c>
      <c r="V28">
        <f>SUM(V24:V27)</f>
        <v>1.0536004723983647</v>
      </c>
    </row>
    <row r="29" spans="2:24" x14ac:dyDescent="0.3">
      <c r="B29">
        <v>1.0727239896368701</v>
      </c>
      <c r="C29">
        <v>-0.63391098592546768</v>
      </c>
      <c r="D29">
        <v>2.8353679226711392</v>
      </c>
      <c r="E29">
        <v>-1.705957402009517</v>
      </c>
      <c r="F29">
        <v>-0.35048515201197006</v>
      </c>
      <c r="G29">
        <v>1.3225644579506479</v>
      </c>
      <c r="H29">
        <v>0.38165239857335109</v>
      </c>
      <c r="I29">
        <v>-0.94150436780182645</v>
      </c>
      <c r="J29">
        <v>-0.70955366027192213</v>
      </c>
      <c r="K29">
        <v>1.7331331036984921</v>
      </c>
      <c r="L29">
        <f t="shared" si="0"/>
        <v>0.57115563487399323</v>
      </c>
      <c r="M29">
        <f t="shared" si="1"/>
        <v>105.56125409630381</v>
      </c>
      <c r="U29" s="3" t="s">
        <v>30</v>
      </c>
      <c r="V29" t="s">
        <v>31</v>
      </c>
      <c r="W29" t="s">
        <v>32</v>
      </c>
      <c r="X29" t="s">
        <v>33</v>
      </c>
    </row>
    <row r="30" spans="2:24" x14ac:dyDescent="0.3">
      <c r="B30">
        <v>-1.7095771909225732</v>
      </c>
      <c r="C30">
        <v>0.19231038095313124</v>
      </c>
      <c r="D30">
        <v>0.1424223228241317</v>
      </c>
      <c r="E30">
        <v>0.1326930032519158</v>
      </c>
      <c r="F30">
        <v>-0.71211388785741292</v>
      </c>
      <c r="G30">
        <v>-0.83221721070003696</v>
      </c>
      <c r="H30">
        <v>0.30439650799962692</v>
      </c>
      <c r="I30">
        <v>0.91641823019017465</v>
      </c>
      <c r="J30">
        <v>-0.78282710092025809</v>
      </c>
      <c r="K30">
        <v>-7.0091346060507931E-2</v>
      </c>
      <c r="L30">
        <f t="shared" si="0"/>
        <v>-0.43626588082670031</v>
      </c>
      <c r="M30">
        <f t="shared" si="1"/>
        <v>105.10072636130886</v>
      </c>
      <c r="U30">
        <f>V24</f>
        <v>0.32148985791694579</v>
      </c>
      <c r="V30">
        <f>V25</f>
        <v>0.22748096977315174</v>
      </c>
      <c r="W30">
        <f>V26</f>
        <v>0.27114664273469702</v>
      </c>
      <c r="X30">
        <f>V27</f>
        <v>0.23348300197357014</v>
      </c>
    </row>
    <row r="31" spans="2:24" x14ac:dyDescent="0.3">
      <c r="B31">
        <v>0.12251234693394508</v>
      </c>
      <c r="C31">
        <v>0.70709575084038079</v>
      </c>
      <c r="D31">
        <v>-0.26305997380404733</v>
      </c>
      <c r="E31">
        <v>-0.27654664336296264</v>
      </c>
      <c r="F31">
        <v>-1.5976957001839764</v>
      </c>
      <c r="G31">
        <v>0.11781139619415626</v>
      </c>
      <c r="H31">
        <v>0.96378471425850876</v>
      </c>
      <c r="I31">
        <v>0.13979615687276237</v>
      </c>
      <c r="J31">
        <v>0.14706074580317363</v>
      </c>
      <c r="K31">
        <v>0.83416580309858546</v>
      </c>
      <c r="L31">
        <f t="shared" si="0"/>
        <v>6.4340534919566705E-2</v>
      </c>
      <c r="M31">
        <f t="shared" si="1"/>
        <v>105.16834873085408</v>
      </c>
    </row>
    <row r="32" spans="2:24" x14ac:dyDescent="0.3">
      <c r="B32">
        <v>0.10041958375950344</v>
      </c>
      <c r="C32">
        <v>0.91061338025610894</v>
      </c>
      <c r="D32">
        <v>-0.50007429308607243</v>
      </c>
      <c r="E32">
        <v>0.98332066045259126</v>
      </c>
      <c r="F32">
        <v>0.94879851531004533</v>
      </c>
      <c r="G32">
        <v>1.3189060155127663</v>
      </c>
      <c r="H32">
        <v>0.42179181036772206</v>
      </c>
      <c r="I32">
        <v>-4.1129624150926247E-2</v>
      </c>
      <c r="J32">
        <v>-1.5267050912370905</v>
      </c>
      <c r="K32">
        <v>0.70916030381340533</v>
      </c>
      <c r="L32">
        <f t="shared" si="0"/>
        <v>0.33342628656087825</v>
      </c>
      <c r="M32">
        <f t="shared" si="1"/>
        <v>105.51900765066476</v>
      </c>
      <c r="P32">
        <f t="array" ref="P32:S32">MMULT(U30:X30,P25:S28)</f>
        <v>0.1823633150779313</v>
      </c>
      <c r="Q32">
        <v>0.1261558848502054</v>
      </c>
      <c r="R32">
        <v>0.20068869263667174</v>
      </c>
      <c r="S32">
        <v>5.4387012083689373E-2</v>
      </c>
      <c r="U32" t="s">
        <v>34</v>
      </c>
      <c r="V32">
        <f>MMULT(P32:S32,V24:V27)</f>
        <v>0.15444052737490382</v>
      </c>
      <c r="W32">
        <v>0.12838093043661231</v>
      </c>
    </row>
    <row r="33" spans="2:22" x14ac:dyDescent="0.3">
      <c r="B33">
        <f>AVERAGE(B3:B32)</f>
        <v>0.21254394747908614</v>
      </c>
      <c r="C33">
        <f t="shared" ref="C33:K33" si="2">AVERAGE(C3:C32)</f>
        <v>0.14703429466559706</v>
      </c>
      <c r="D33">
        <f t="shared" si="2"/>
        <v>0.23390214209939586</v>
      </c>
      <c r="E33">
        <f t="shared" si="2"/>
        <v>6.3387877465477985E-2</v>
      </c>
      <c r="F33">
        <f t="shared" si="2"/>
        <v>-0.20649978675161643</v>
      </c>
      <c r="G33">
        <f t="shared" si="2"/>
        <v>0.2616450274217641</v>
      </c>
      <c r="H33">
        <f t="shared" si="2"/>
        <v>7.13203007762786E-3</v>
      </c>
      <c r="I33">
        <f t="shared" si="2"/>
        <v>-0.12801361511568152</v>
      </c>
      <c r="J33">
        <f t="shared" si="2"/>
        <v>-2.093706067777627E-2</v>
      </c>
      <c r="K33">
        <f t="shared" si="2"/>
        <v>1.3010473291312033E-2</v>
      </c>
      <c r="L33" s="4">
        <f t="shared" si="0"/>
        <v>0.17999999989467738</v>
      </c>
      <c r="U33" t="s">
        <v>36</v>
      </c>
      <c r="V33">
        <f>(L33-T35)/V32</f>
        <v>0.84174796670502705</v>
      </c>
    </row>
    <row r="34" spans="2:22" x14ac:dyDescent="0.3">
      <c r="U34" t="s">
        <v>38</v>
      </c>
      <c r="V34">
        <v>0.2</v>
      </c>
    </row>
    <row r="35" spans="2:22" x14ac:dyDescent="0.3">
      <c r="R35" t="s">
        <v>37</v>
      </c>
      <c r="T35">
        <v>0.05</v>
      </c>
      <c r="U35" t="s">
        <v>39</v>
      </c>
      <c r="V35">
        <v>0.18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Office</cp:lastModifiedBy>
  <dcterms:created xsi:type="dcterms:W3CDTF">2026-09-15T14:28:13Z</dcterms:created>
  <dcterms:modified xsi:type="dcterms:W3CDTF">2026-09-26T16:59:26Z</dcterms:modified>
</cp:coreProperties>
</file>